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ANSEN_SENAI\Plano de Aulas\Office Specialist\Microsoft Excel\Roteiro de Arquivos GIT\"/>
    </mc:Choice>
  </mc:AlternateContent>
  <xr:revisionPtr revIDLastSave="0" documentId="13_ncr:1_{531A55B9-5ED5-45DE-B28F-B85D0BE74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áficos" sheetId="1" r:id="rId1"/>
    <sheet name="Ativida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7" i="1"/>
  <c r="E6" i="1"/>
  <c r="E5" i="1"/>
  <c r="E4" i="1"/>
</calcChain>
</file>

<file path=xl/sharedStrings.xml><?xml version="1.0" encoding="utf-8"?>
<sst xmlns="http://schemas.openxmlformats.org/spreadsheetml/2006/main" count="48" uniqueCount="48">
  <si>
    <t>Notas de Bimestre</t>
  </si>
  <si>
    <t>Hora</t>
  </si>
  <si>
    <t>Data</t>
  </si>
  <si>
    <t>Aluno</t>
  </si>
  <si>
    <t>1º Bimenstre</t>
  </si>
  <si>
    <t>2º Bimestre</t>
  </si>
  <si>
    <t>3º Bimestre</t>
  </si>
  <si>
    <t>Média (Arredondada)</t>
  </si>
  <si>
    <t>Menor Nota</t>
  </si>
  <si>
    <t>Maior Nota</t>
  </si>
  <si>
    <t>Marcos Felipe</t>
  </si>
  <si>
    <t>Rosana da Silva</t>
  </si>
  <si>
    <t>Marcelo Abreu</t>
  </si>
  <si>
    <t>Lucas de Padua</t>
  </si>
  <si>
    <t>Jane Souza</t>
  </si>
  <si>
    <t>Mariana Pabliene</t>
  </si>
  <si>
    <t>Total de Alunos na Sala</t>
  </si>
  <si>
    <t>Folha de Pagamento Empresa Z Tecnologia</t>
  </si>
  <si>
    <t>Salário Base</t>
  </si>
  <si>
    <t>Colaborador</t>
  </si>
  <si>
    <t>Nº Salários</t>
  </si>
  <si>
    <t>Salário Bruto (R$)</t>
  </si>
  <si>
    <t>Desconto VT (R$)</t>
  </si>
  <si>
    <t>Desconto INSS (R$)</t>
  </si>
  <si>
    <t>Total de Descontos (R$)</t>
  </si>
  <si>
    <t>Salário Liquido (R$)</t>
  </si>
  <si>
    <t>Data de Pagamento</t>
  </si>
  <si>
    <t>Dias Restantes para Pagamento</t>
  </si>
  <si>
    <t>Dia da Semana</t>
  </si>
  <si>
    <t>Bill Gates</t>
  </si>
  <si>
    <t>Michael Jackson</t>
  </si>
  <si>
    <t>Glória Maria</t>
  </si>
  <si>
    <t>Hebe Camargo</t>
  </si>
  <si>
    <t>Luciano Hulk</t>
  </si>
  <si>
    <t>Patricia Poeta</t>
  </si>
  <si>
    <t>Ronaldinho Gaúcho</t>
  </si>
  <si>
    <t>Ana Carolina</t>
  </si>
  <si>
    <t>Seu Jorge</t>
  </si>
  <si>
    <t>Maior Salário (Liquido)</t>
  </si>
  <si>
    <t>Taxas</t>
  </si>
  <si>
    <t>Menor Salário (Liquido)</t>
  </si>
  <si>
    <t>VT (%)</t>
  </si>
  <si>
    <t>Média de Salário (Liquido)</t>
  </si>
  <si>
    <t>INSS (%)</t>
  </si>
  <si>
    <t>IRRF (%)</t>
  </si>
  <si>
    <t>Declaração de IRRF</t>
  </si>
  <si>
    <t>Desconto IRRF (R$)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</si>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</sst>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14" fontId="4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9" fontId="3" fillId="11" borderId="1" xfId="0" applyNumberFormat="1" applyFont="1" applyFill="1" applyBorder="1" applyAlignment="1">
      <alignment horizontal="left" vertical="center"/>
    </xf>
    <xf numFmtId="44" fontId="0" fillId="0" borderId="1" xfId="0" applyNumberFormat="1" applyBorder="1" applyAlignment="1">
      <alignment horizontal="center" vertical="center"/>
    </xf>
    <xf numFmtId="44" fontId="0" fillId="10" borderId="1" xfId="0" applyNumberForma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4" fontId="7" fillId="7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104773</xdr:rowOff>
    </xdr:from>
    <xdr:to>
      <xdr:col>15</xdr:col>
      <xdr:colOff>0</xdr:colOff>
      <xdr:row>9</xdr:row>
      <xdr:rowOff>9524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62975" y="104773"/>
          <a:ext cx="3667125" cy="2476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6">
                  <a:lumMod val="75000"/>
                </a:schemeClr>
              </a:solidFill>
            </a:rPr>
            <a:t>Média (Arredondada)</a:t>
          </a:r>
        </a:p>
        <a:p>
          <a:endParaRPr lang="pt-BR" sz="1100"/>
        </a:p>
        <a:p>
          <a:r>
            <a:rPr lang="pt-BR" sz="1100"/>
            <a:t>Considerar</a:t>
          </a:r>
          <a:r>
            <a:rPr lang="pt-BR" sz="1100" baseline="0"/>
            <a:t> apenas 1 casa decimal.</a:t>
          </a:r>
        </a:p>
        <a:p>
          <a:endParaRPr lang="pt-BR" sz="1100" baseline="0"/>
        </a:p>
        <a:p>
          <a:pPr marL="0" indent="0"/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Status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o Aluno atinja ou ultrapasse a Média 7, seu Status será APROVADO.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Caso contrário seu status será REPROVADO.</a:t>
          </a:r>
          <a:endParaRPr lang="pt-BR">
            <a:effectLst/>
          </a:endParaRPr>
        </a:p>
        <a:p>
          <a:endParaRPr lang="pt-BR" sz="1100" baseline="0"/>
        </a:p>
        <a:p>
          <a:endParaRPr lang="pt-BR" sz="1100" baseline="0"/>
        </a:p>
        <a:p>
          <a:pPr marL="0" indent="0"/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Gráfico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um Gráfico relacionando os Alunos X Média.</a:t>
          </a:r>
          <a:endParaRPr lang="pt-BR">
            <a:effectLst/>
          </a:endParaRPr>
        </a:p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180975</xdr:rowOff>
    </xdr:from>
    <xdr:to>
      <xdr:col>2</xdr:col>
      <xdr:colOff>828675</xdr:colOff>
      <xdr:row>33</xdr:row>
      <xdr:rowOff>57150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0" y="4848225"/>
          <a:ext cx="3543300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 b="1">
              <a:solidFill>
                <a:schemeClr val="accent3">
                  <a:lumMod val="75000"/>
                </a:schemeClr>
              </a:solidFill>
            </a:rPr>
            <a:t>Declaração</a:t>
          </a:r>
          <a:r>
            <a:rPr lang="pt-BR" sz="1300" b="1" baseline="0">
              <a:solidFill>
                <a:schemeClr val="accent3">
                  <a:lumMod val="75000"/>
                </a:schemeClr>
              </a:solidFill>
            </a:rPr>
            <a:t> de IRRF</a:t>
          </a:r>
        </a:p>
        <a:p>
          <a:r>
            <a:rPr lang="pt-BR" sz="1100" baseline="0"/>
            <a:t>Deverá mostrar se o Colaborador deverá ou não declarar o Imposto de Renda. </a:t>
          </a:r>
        </a:p>
        <a:p>
          <a:endParaRPr lang="pt-BR" sz="1100" baseline="0"/>
        </a:p>
        <a:p>
          <a:r>
            <a:rPr lang="pt-BR" sz="1100" baseline="0"/>
            <a:t>Caso o número de salários seja à partir de 3 salários, o mesmo </a:t>
          </a:r>
          <a:r>
            <a:rPr lang="pt-BR" sz="1100" b="1" baseline="0"/>
            <a:t>DECLARA</a:t>
          </a:r>
          <a:r>
            <a:rPr lang="pt-BR" sz="1100" baseline="0"/>
            <a:t>.</a:t>
          </a:r>
        </a:p>
        <a:p>
          <a:endParaRPr lang="pt-BR" sz="1100" baseline="0"/>
        </a:p>
        <a:p>
          <a:r>
            <a:rPr lang="pt-BR" sz="1100" baseline="0"/>
            <a:t>Caso o número de salários seja inferior á 3 salários, o mesmo </a:t>
          </a:r>
          <a:r>
            <a:rPr lang="pt-BR" sz="1100" b="1" baseline="0"/>
            <a:t>NÃO DECLARA</a:t>
          </a:r>
          <a:r>
            <a:rPr lang="pt-BR" sz="1100" baseline="0"/>
            <a:t>.</a:t>
          </a:r>
        </a:p>
        <a:p>
          <a:endParaRPr lang="pt-BR" sz="1100"/>
        </a:p>
        <a:p>
          <a:pPr marL="0" indent="0"/>
          <a:r>
            <a:rPr lang="pt-BR" sz="1300" b="1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Gráfico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Crie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um Gráfico relacionando os Colaboradores X Salário Liquido.</a:t>
          </a:r>
          <a:endParaRPr lang="pt-BR">
            <a:effectLst/>
          </a:endParaRPr>
        </a:p>
        <a:p>
          <a:endParaRPr lang="pt-BR" sz="1100"/>
        </a:p>
        <a:p>
          <a:pPr marL="0" indent="0"/>
          <a:r>
            <a:rPr lang="pt-BR" sz="1300" b="1">
              <a:solidFill>
                <a:srgbClr val="FF0000"/>
              </a:solidFill>
              <a:latin typeface="+mn-lt"/>
              <a:ea typeface="+mn-ea"/>
              <a:cs typeface="+mn-cs"/>
            </a:rPr>
            <a:t>Data de Pagamento</a:t>
          </a:r>
        </a:p>
        <a:p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Ajuste a data substituindo o mês e o ano para a data 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vigente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>
            <a:effectLst/>
          </a:endParaRP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" sqref="H1"/>
    </sheetView>
  </sheetViews>
  <sheetFormatPr defaultRowHeight="15" x14ac:dyDescent="0.25"/>
  <cols>
    <col min="1" max="1" width="18.85546875" customWidth="1"/>
    <col min="2" max="2" width="12" customWidth="1"/>
    <col min="3" max="3" width="11.42578125" customWidth="1"/>
    <col min="4" max="5" width="11.7109375" customWidth="1"/>
    <col min="6" max="6" width="22" customWidth="1"/>
    <col min="7" max="7" width="15.28515625" customWidth="1"/>
    <col min="8" max="8" width="16.42578125" customWidth="1"/>
  </cols>
  <sheetData>
    <row r="1" spans="1:8" s="2" customFormat="1" ht="18.75" x14ac:dyDescent="0.25">
      <c r="A1" s="25" t="s">
        <v>0</v>
      </c>
      <c r="B1" s="25"/>
      <c r="C1" s="25"/>
      <c r="D1" s="25"/>
      <c r="E1" s="25"/>
      <c r="F1" s="25"/>
      <c r="G1" s="24" t="s">
        <v>1</v>
      </c>
      <c r="H1" s="1"/>
    </row>
    <row r="2" spans="1:8" s="2" customFormat="1" ht="18.75" x14ac:dyDescent="0.25">
      <c r="A2" s="25"/>
      <c r="B2" s="25"/>
      <c r="C2" s="25"/>
      <c r="D2" s="25"/>
      <c r="E2" s="25"/>
      <c r="F2" s="25"/>
      <c r="G2" s="24" t="s">
        <v>2</v>
      </c>
      <c r="H2" s="3"/>
    </row>
    <row r="3" spans="1:8" s="2" customFormat="1" ht="24" x14ac:dyDescent="0.25">
      <c r="A3" s="4" t="s">
        <v>3</v>
      </c>
      <c r="B3" s="4" t="s">
        <v>4</v>
      </c>
      <c r="C3" s="4" t="s">
        <v>5</v>
      </c>
      <c r="D3" s="4" t="s">
        <v>6</v>
      </c>
      <c r="E3" s="5" t="s">
        <v>7</v>
      </c>
      <c r="F3" s="5" t="s">
        <v>47</v>
      </c>
      <c r="G3" s="6" t="s">
        <v>8</v>
      </c>
      <c r="H3" s="6" t="s">
        <v>9</v>
      </c>
    </row>
    <row r="4" spans="1:8" s="2" customFormat="1" ht="24.95" customHeight="1" x14ac:dyDescent="0.25">
      <c r="A4" s="7" t="s">
        <v>10</v>
      </c>
      <c r="B4" s="8">
        <v>7.5</v>
      </c>
      <c r="C4" s="8">
        <v>7.8</v>
      </c>
      <c r="D4" s="8">
        <v>9.5</v>
      </c>
      <c r="E4" s="8">
        <f>ROUND(AVERAGE(B4:D4),1)</f>
        <v>8.3000000000000007</v>
      </c>
      <c r="F4" s="8"/>
      <c r="G4" s="8"/>
      <c r="H4" s="8"/>
    </row>
    <row r="5" spans="1:8" s="2" customFormat="1" ht="24.95" customHeight="1" x14ac:dyDescent="0.25">
      <c r="A5" s="7" t="s">
        <v>11</v>
      </c>
      <c r="B5" s="8">
        <v>3.9</v>
      </c>
      <c r="C5" s="8">
        <v>8.1999999999999993</v>
      </c>
      <c r="D5" s="8">
        <v>7.2</v>
      </c>
      <c r="E5" s="8">
        <f>ROUND(AVERAGE(B5:D5),1)</f>
        <v>6.4</v>
      </c>
      <c r="F5" s="8"/>
      <c r="G5" s="8"/>
      <c r="H5" s="8"/>
    </row>
    <row r="6" spans="1:8" s="2" customFormat="1" ht="24.95" customHeight="1" x14ac:dyDescent="0.25">
      <c r="A6" s="7" t="s">
        <v>12</v>
      </c>
      <c r="B6" s="8">
        <v>2.8</v>
      </c>
      <c r="C6" s="8">
        <v>8.1999999999999993</v>
      </c>
      <c r="D6" s="8">
        <v>6.2</v>
      </c>
      <c r="E6" s="8">
        <f>ROUND(AVERAGE(B6:D6),1)</f>
        <v>5.7</v>
      </c>
      <c r="F6" s="8"/>
      <c r="G6" s="8"/>
      <c r="H6" s="8"/>
    </row>
    <row r="7" spans="1:8" s="2" customFormat="1" ht="24.95" customHeight="1" x14ac:dyDescent="0.25">
      <c r="A7" s="7" t="s">
        <v>13</v>
      </c>
      <c r="B7" s="8">
        <v>9.5</v>
      </c>
      <c r="C7" s="8">
        <v>9.6</v>
      </c>
      <c r="D7" s="8">
        <v>7.5</v>
      </c>
      <c r="E7" s="8">
        <f>ROUND(AVERAGE(B7:D7),1)</f>
        <v>8.9</v>
      </c>
      <c r="F7" s="8"/>
      <c r="G7" s="8"/>
      <c r="H7" s="8"/>
    </row>
    <row r="8" spans="1:8" s="2" customFormat="1" ht="24.95" customHeight="1" x14ac:dyDescent="0.25">
      <c r="A8" s="7" t="s">
        <v>14</v>
      </c>
      <c r="B8" s="8">
        <v>7.2</v>
      </c>
      <c r="C8" s="8">
        <v>2.1</v>
      </c>
      <c r="D8" s="8">
        <v>4.2</v>
      </c>
      <c r="E8" s="8">
        <f t="shared" ref="E8:E9" si="0">ROUND(AVERAGE(B8:D8),1)</f>
        <v>4.5</v>
      </c>
      <c r="F8" s="8"/>
      <c r="G8" s="8"/>
      <c r="H8" s="8"/>
    </row>
    <row r="9" spans="1:8" s="2" customFormat="1" ht="24.95" customHeight="1" x14ac:dyDescent="0.25">
      <c r="A9" s="7" t="s">
        <v>15</v>
      </c>
      <c r="B9" s="8">
        <v>6.1</v>
      </c>
      <c r="C9" s="8">
        <v>7.2</v>
      </c>
      <c r="D9" s="8">
        <v>4.2</v>
      </c>
      <c r="E9" s="8">
        <f t="shared" si="0"/>
        <v>5.8</v>
      </c>
      <c r="F9" s="8"/>
      <c r="G9" s="8"/>
      <c r="H9" s="8"/>
    </row>
    <row r="10" spans="1:8" s="2" customFormat="1" x14ac:dyDescent="0.25"/>
    <row r="11" spans="1:8" s="2" customFormat="1" ht="31.5" x14ac:dyDescent="0.25">
      <c r="A11" s="23" t="s">
        <v>16</v>
      </c>
      <c r="B11" s="9"/>
    </row>
  </sheetData>
  <mergeCells count="1">
    <mergeCell ref="A1:F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C4" sqref="C4"/>
    </sheetView>
  </sheetViews>
  <sheetFormatPr defaultRowHeight="15" x14ac:dyDescent="0.25"/>
  <cols>
    <col min="1" max="1" width="25.7109375" customWidth="1"/>
    <col min="2" max="2" width="15" customWidth="1"/>
    <col min="3" max="4" width="19.5703125" customWidth="1"/>
    <col min="5" max="5" width="19.85546875" customWidth="1"/>
    <col min="6" max="7" width="18.42578125" customWidth="1"/>
    <col min="8" max="8" width="21.5703125" customWidth="1"/>
    <col min="9" max="9" width="17.7109375" customWidth="1"/>
    <col min="10" max="10" width="13" customWidth="1"/>
    <col min="11" max="11" width="15" customWidth="1"/>
    <col min="12" max="12" width="22" customWidth="1"/>
  </cols>
  <sheetData>
    <row r="1" spans="1:12" x14ac:dyDescent="0.25">
      <c r="A1" s="19" t="s">
        <v>17</v>
      </c>
      <c r="B1" s="19"/>
      <c r="C1" s="19"/>
      <c r="D1" s="19"/>
      <c r="E1" s="19"/>
      <c r="F1" s="19"/>
      <c r="G1" s="19"/>
      <c r="H1" s="19"/>
      <c r="I1" s="19"/>
      <c r="J1" s="19"/>
      <c r="K1" s="20" t="s">
        <v>18</v>
      </c>
      <c r="L1" s="21">
        <v>768.23</v>
      </c>
    </row>
    <row r="2" spans="1:1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20"/>
      <c r="L2" s="21"/>
    </row>
    <row r="3" spans="1:12" ht="25.5" x14ac:dyDescent="0.25">
      <c r="A3" s="10" t="s">
        <v>19</v>
      </c>
      <c r="B3" s="11" t="s">
        <v>20</v>
      </c>
      <c r="C3" s="11" t="s">
        <v>21</v>
      </c>
      <c r="D3" s="11" t="s">
        <v>45</v>
      </c>
      <c r="E3" s="11" t="s">
        <v>22</v>
      </c>
      <c r="F3" s="11" t="s">
        <v>23</v>
      </c>
      <c r="G3" s="11" t="s">
        <v>46</v>
      </c>
      <c r="H3" s="11" t="s">
        <v>24</v>
      </c>
      <c r="I3" s="11" t="s">
        <v>25</v>
      </c>
      <c r="J3" s="12" t="s">
        <v>26</v>
      </c>
      <c r="K3" s="12" t="s">
        <v>27</v>
      </c>
      <c r="L3" s="12" t="s">
        <v>28</v>
      </c>
    </row>
    <row r="4" spans="1:12" s="2" customFormat="1" ht="24.95" customHeight="1" x14ac:dyDescent="0.25">
      <c r="A4" s="7" t="s">
        <v>29</v>
      </c>
      <c r="B4" s="8">
        <v>8</v>
      </c>
      <c r="C4" s="17"/>
      <c r="D4" s="8"/>
      <c r="E4" s="17"/>
      <c r="F4" s="17"/>
      <c r="G4" s="17"/>
      <c r="H4" s="17"/>
      <c r="I4" s="17"/>
      <c r="J4" s="13">
        <v>41875</v>
      </c>
      <c r="K4" s="8"/>
      <c r="L4" s="8"/>
    </row>
    <row r="5" spans="1:12" s="2" customFormat="1" ht="24.95" customHeight="1" x14ac:dyDescent="0.25">
      <c r="A5" s="7" t="s">
        <v>30</v>
      </c>
      <c r="B5" s="8">
        <v>5</v>
      </c>
      <c r="C5" s="17"/>
      <c r="D5" s="8"/>
      <c r="E5" s="17"/>
      <c r="F5" s="17"/>
      <c r="G5" s="17"/>
      <c r="H5" s="17"/>
      <c r="I5" s="17"/>
      <c r="J5" s="13">
        <v>41866</v>
      </c>
      <c r="K5" s="8"/>
      <c r="L5" s="8"/>
    </row>
    <row r="6" spans="1:12" s="2" customFormat="1" ht="24.95" customHeight="1" x14ac:dyDescent="0.25">
      <c r="A6" s="7" t="s">
        <v>31</v>
      </c>
      <c r="B6" s="8">
        <v>2</v>
      </c>
      <c r="C6" s="17"/>
      <c r="D6" s="8"/>
      <c r="E6" s="17"/>
      <c r="F6" s="17"/>
      <c r="G6" s="17"/>
      <c r="H6" s="17"/>
      <c r="I6" s="17"/>
      <c r="J6" s="13">
        <v>41869</v>
      </c>
      <c r="K6" s="8"/>
      <c r="L6" s="8"/>
    </row>
    <row r="7" spans="1:12" s="2" customFormat="1" ht="24.95" customHeight="1" x14ac:dyDescent="0.25">
      <c r="A7" s="7" t="s">
        <v>32</v>
      </c>
      <c r="B7" s="8">
        <v>4</v>
      </c>
      <c r="C7" s="17"/>
      <c r="D7" s="8"/>
      <c r="E7" s="17"/>
      <c r="F7" s="17"/>
      <c r="G7" s="17"/>
      <c r="H7" s="17"/>
      <c r="I7" s="17"/>
      <c r="J7" s="13">
        <v>41847</v>
      </c>
      <c r="K7" s="8"/>
      <c r="L7" s="8"/>
    </row>
    <row r="8" spans="1:12" s="2" customFormat="1" ht="24.95" customHeight="1" x14ac:dyDescent="0.25">
      <c r="A8" s="7" t="s">
        <v>33</v>
      </c>
      <c r="B8" s="8">
        <v>8</v>
      </c>
      <c r="C8" s="17"/>
      <c r="D8" s="8"/>
      <c r="E8" s="17"/>
      <c r="F8" s="17"/>
      <c r="G8" s="17"/>
      <c r="H8" s="17"/>
      <c r="I8" s="17"/>
      <c r="J8" s="13">
        <v>41871</v>
      </c>
      <c r="K8" s="8"/>
      <c r="L8" s="8"/>
    </row>
    <row r="9" spans="1:12" s="2" customFormat="1" ht="24.95" customHeight="1" x14ac:dyDescent="0.25">
      <c r="A9" s="7" t="s">
        <v>34</v>
      </c>
      <c r="B9" s="8">
        <v>7</v>
      </c>
      <c r="C9" s="17"/>
      <c r="D9" s="8"/>
      <c r="E9" s="17"/>
      <c r="F9" s="17"/>
      <c r="G9" s="17"/>
      <c r="H9" s="17"/>
      <c r="I9" s="17"/>
      <c r="J9" s="13">
        <v>41853</v>
      </c>
      <c r="K9" s="8"/>
      <c r="L9" s="8"/>
    </row>
    <row r="10" spans="1:12" s="2" customFormat="1" ht="24.95" customHeight="1" x14ac:dyDescent="0.25">
      <c r="A10" s="7" t="s">
        <v>35</v>
      </c>
      <c r="B10" s="8">
        <v>3</v>
      </c>
      <c r="C10" s="17"/>
      <c r="D10" s="8"/>
      <c r="E10" s="17"/>
      <c r="F10" s="17"/>
      <c r="G10" s="17"/>
      <c r="H10" s="17"/>
      <c r="I10" s="17"/>
      <c r="J10" s="13">
        <v>41861</v>
      </c>
      <c r="K10" s="8"/>
      <c r="L10" s="8"/>
    </row>
    <row r="11" spans="1:12" s="2" customFormat="1" ht="24.95" customHeight="1" x14ac:dyDescent="0.25">
      <c r="A11" s="7" t="s">
        <v>36</v>
      </c>
      <c r="B11" s="8">
        <v>6</v>
      </c>
      <c r="C11" s="17"/>
      <c r="D11" s="8"/>
      <c r="E11" s="17"/>
      <c r="F11" s="17"/>
      <c r="G11" s="17"/>
      <c r="H11" s="17"/>
      <c r="I11" s="17"/>
      <c r="J11" s="13">
        <v>41856</v>
      </c>
      <c r="K11" s="8"/>
      <c r="L11" s="8"/>
    </row>
    <row r="12" spans="1:12" s="2" customFormat="1" ht="24.95" customHeight="1" x14ac:dyDescent="0.25">
      <c r="A12" s="7" t="s">
        <v>37</v>
      </c>
      <c r="B12" s="8">
        <v>4</v>
      </c>
      <c r="C12" s="17"/>
      <c r="D12" s="8"/>
      <c r="E12" s="17"/>
      <c r="F12" s="17"/>
      <c r="G12" s="17"/>
      <c r="H12" s="17"/>
      <c r="I12" s="17"/>
      <c r="J12" s="13">
        <v>41860</v>
      </c>
      <c r="K12" s="8"/>
      <c r="L12" s="8"/>
    </row>
    <row r="13" spans="1:12" ht="15" customHeight="1" x14ac:dyDescent="0.25"/>
    <row r="14" spans="1:12" s="2" customFormat="1" ht="24.95" customHeight="1" x14ac:dyDescent="0.25">
      <c r="A14" s="14" t="s">
        <v>38</v>
      </c>
      <c r="B14" s="18"/>
      <c r="E14" s="22" t="s">
        <v>39</v>
      </c>
      <c r="F14" s="22"/>
    </row>
    <row r="15" spans="1:12" s="2" customFormat="1" ht="24.95" customHeight="1" x14ac:dyDescent="0.25">
      <c r="A15" s="14" t="s">
        <v>40</v>
      </c>
      <c r="B15" s="18"/>
      <c r="E15" s="15" t="s">
        <v>41</v>
      </c>
      <c r="F15" s="16">
        <v>0.06</v>
      </c>
    </row>
    <row r="16" spans="1:12" s="2" customFormat="1" ht="24.95" customHeight="1" x14ac:dyDescent="0.25">
      <c r="A16" s="14" t="s">
        <v>42</v>
      </c>
      <c r="B16" s="18"/>
      <c r="E16" s="15" t="s">
        <v>43</v>
      </c>
      <c r="F16" s="16">
        <v>0.08</v>
      </c>
    </row>
    <row r="17" spans="5:6" ht="24.95" customHeight="1" x14ac:dyDescent="0.25">
      <c r="E17" s="15" t="s">
        <v>44</v>
      </c>
      <c r="F17" s="16">
        <v>0.12</v>
      </c>
    </row>
  </sheetData>
  <mergeCells count="4">
    <mergeCell ref="A1:J2"/>
    <mergeCell ref="K1:K2"/>
    <mergeCell ref="L1:L2"/>
    <mergeCell ref="E14:F1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Gráficos</vt:lpstr>
      <vt:lpstr>Atividade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a11</dc:creator>
  <cp:lastModifiedBy>Jansen Rafael Leite</cp:lastModifiedBy>
  <dcterms:created xsi:type="dcterms:W3CDTF">2014-08-30T18:01:11Z</dcterms:created>
  <dcterms:modified xsi:type="dcterms:W3CDTF">2026-01-06T12:55:22Z</dcterms:modified>
</cp:coreProperties>
</file>